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e00005\Documents\bin\nathanielbutts.github.io\documents\information\"/>
    </mc:Choice>
  </mc:AlternateContent>
  <xr:revisionPtr revIDLastSave="0" documentId="8_{DED3604E-6739-4C30-86CF-A3627E86BEC0}" xr6:coauthVersionLast="47" xr6:coauthVersionMax="47" xr10:uidLastSave="{00000000-0000-0000-0000-000000000000}"/>
  <bookViews>
    <workbookView xWindow="-5400" yWindow="-18617" windowWidth="33120" windowHeight="18000" activeTab="1" xr2:uid="{00000000-000D-0000-FFFF-FFFF00000000}"/>
  </bookViews>
  <sheets>
    <sheet name="Jan" sheetId="3" r:id="rId1"/>
    <sheet name="Sept" sheetId="1" r:id="rId2"/>
    <sheet name="Oct" sheetId="2" r:id="rId3"/>
  </sheets>
  <definedNames>
    <definedName name="calendar" localSheetId="0">daygrid+Jan!firstdate-WEEKDAY(Jan!firstdate)-Jan!weekday_option</definedName>
    <definedName name="calendar" localSheetId="2">daygrid+Oct!firstdate-WEEKDAY(Oct!firstdate)-Oct!weekday_option</definedName>
    <definedName name="calendar" localSheetId="1">daygrid+Sept!firstdate-WEEKDAY(Sept!firstdate)-weekday_option</definedName>
    <definedName name="daygrid">days+weeks*7</definedName>
    <definedName name="daypattern">{1,1,2,2,3,3,4,4,5,5,6,6,7}</definedName>
    <definedName name="days">{0,1,2,3,4,5,6}</definedName>
    <definedName name="DayToStart" localSheetId="0">Jan!$E$1</definedName>
    <definedName name="DayToStart" localSheetId="2">Oct!$E$1</definedName>
    <definedName name="DayToStart">Sept!$E$1</definedName>
    <definedName name="firstdate" localSheetId="0">DATE(Jan!YearToDisplay,Jan!month,1)</definedName>
    <definedName name="firstdate" localSheetId="2">DATE(Oct!YearToDisplay,Oct!month,1)</definedName>
    <definedName name="firstdate" localSheetId="1">DATE(Sept!YearToDisplay,Sept!month,1)</definedName>
    <definedName name="month" localSheetId="0">MATCH(Jan!MonthToDisplay,months,0)</definedName>
    <definedName name="month" localSheetId="2">MATCH(Oct!MonthToDisplay,months,0)</definedName>
    <definedName name="month" localSheetId="1">MATCH(Sept!MonthToDisplay,months,0)</definedName>
    <definedName name="months">{"January","February","March","April","May","June","July","August","September","October","November","December"}</definedName>
    <definedName name="MonthToDisplay" localSheetId="0">Jan!$C$1</definedName>
    <definedName name="MonthToDisplay" localSheetId="2">Oct!$C$1</definedName>
    <definedName name="MonthToDisplay" localSheetId="1">Sept!$C$1</definedName>
    <definedName name="MonthToDisplayNumber" localSheetId="0">MATCH(Jan!MonthToDisplay,months,0)</definedName>
    <definedName name="MonthToDisplayNumber" localSheetId="2">MATCH(Oct!MonthToDisplay,months,0)</definedName>
    <definedName name="MonthToDisplayNumber" localSheetId="1">MATCH(Sept!MonthToDisplay,months,0)</definedName>
    <definedName name="ndx" localSheetId="0">ROUNDUP(MATCH(2,1/FREQUENCY(DATE(Jan!YearToDisplay,Jan!MonthToDisplayNumber,1),Jan!calendar))/7,0)</definedName>
    <definedName name="ndx" localSheetId="2">ROUNDUP(MATCH(2,1/FREQUENCY(DATE(Oct!YearToDisplay,Oct!MonthToDisplayNumber,1),Oct!calendar))/7,0)</definedName>
    <definedName name="ndx" localSheetId="1">ROUNDUP(MATCH(2,1/FREQUENCY(DATE(Sept!YearToDisplay,Sept!MonthToDisplayNumber,1),Sept!calendar))/7,0)</definedName>
    <definedName name="_xlnm.Print_Titles" localSheetId="0">Jan!$3:$3</definedName>
    <definedName name="_xlnm.Print_Titles" localSheetId="2">Oct!$3:$3</definedName>
    <definedName name="_xlnm.Print_Titles" localSheetId="1">Sept!$3:$3</definedName>
    <definedName name="startdate" localSheetId="0">DATE(Jan!YearToDisplay,Jan!month,1)</definedName>
    <definedName name="startdate" localSheetId="2">DATE(Oct!YearToDisplay,Oct!month,1)</definedName>
    <definedName name="startdate" localSheetId="1">DATE(Sept!YearToDisplay,Sept!month,1)</definedName>
    <definedName name="weekday_option" localSheetId="0">MATCH(Jan!DayToStart,weekdays_reversed,0)-2</definedName>
    <definedName name="weekday_option" localSheetId="2">MATCH(Oct!DayToStart,weekdays_reversed,0)-2</definedName>
    <definedName name="weekday_option">MATCH(DayToStart,weekdays_reversed,0)-2</definedName>
    <definedName name="weekdays">{"Monday","Tuesday","Wednesday","Thursday","Friday","Saturday","Sunday"}</definedName>
    <definedName name="weekdays_reversed">{"Sunday","Saturday","Friday","Thursday","Wednesday","Tuesday","Monday"}</definedName>
    <definedName name="weeks">{0;1;2;3;4;5;6}</definedName>
    <definedName name="YearToDisplay" localSheetId="0">Jan!$B$1</definedName>
    <definedName name="YearToDisplay" localSheetId="2">Oct!$B$1</definedName>
    <definedName name="YearToDisplay" localSheetId="1">Sept!$B$1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B14" i="3" s="1" a="1"/>
  <c r="H14" i="3" s="1"/>
  <c r="B1" i="2"/>
  <c r="B6" i="2" s="1" a="1"/>
  <c r="E6" i="2" s="1"/>
  <c r="B1" i="1"/>
  <c r="B3" i="1" s="1" a="1"/>
  <c r="B3" i="1" s="1"/>
  <c r="B8" i="3" l="1" a="1"/>
  <c r="D8" i="3" s="1"/>
  <c r="B3" i="3" a="1"/>
  <c r="H3" i="3" s="1"/>
  <c r="B4" i="3" a="1"/>
  <c r="F4" i="3" s="1"/>
  <c r="B6" i="3" a="1"/>
  <c r="H6" i="3" s="1"/>
  <c r="B10" i="3" a="1"/>
  <c r="G10" i="3" s="1"/>
  <c r="B12" i="3" a="1"/>
  <c r="B12" i="3" s="1"/>
  <c r="F14" i="3"/>
  <c r="C14" i="3"/>
  <c r="B14" i="3"/>
  <c r="D14" i="3"/>
  <c r="E14" i="3"/>
  <c r="G14" i="3"/>
  <c r="B10" i="2" a="1"/>
  <c r="C10" i="2" s="1"/>
  <c r="B8" i="2" a="1"/>
  <c r="D8" i="2" s="1"/>
  <c r="B12" i="2" a="1"/>
  <c r="B12" i="2" s="1"/>
  <c r="B4" i="2" a="1"/>
  <c r="B4" i="2" s="1"/>
  <c r="B14" i="2" a="1"/>
  <c r="H14" i="2" s="1"/>
  <c r="B3" i="2" a="1"/>
  <c r="G3" i="2" s="1"/>
  <c r="G6" i="2"/>
  <c r="H6" i="2"/>
  <c r="F6" i="2"/>
  <c r="B6" i="2"/>
  <c r="C6" i="2"/>
  <c r="D6" i="2"/>
  <c r="B10" i="1" a="1"/>
  <c r="F10" i="1" s="1"/>
  <c r="B4" i="1" a="1"/>
  <c r="B4" i="1" s="1"/>
  <c r="B6" i="1" a="1"/>
  <c r="G6" i="1" s="1"/>
  <c r="B8" i="1" a="1"/>
  <c r="B8" i="1" s="1"/>
  <c r="B12" i="1" a="1"/>
  <c r="F12" i="1" s="1"/>
  <c r="B14" i="1" a="1"/>
  <c r="D14" i="1" s="1"/>
  <c r="H3" i="1"/>
  <c r="C3" i="1"/>
  <c r="E3" i="1"/>
  <c r="F3" i="1"/>
  <c r="G3" i="1"/>
  <c r="D3" i="1"/>
  <c r="F3" i="3" l="1"/>
  <c r="B8" i="3"/>
  <c r="F8" i="3"/>
  <c r="E8" i="3"/>
  <c r="H8" i="3"/>
  <c r="G8" i="3"/>
  <c r="C8" i="3"/>
  <c r="H4" i="3"/>
  <c r="B3" i="3"/>
  <c r="E4" i="3"/>
  <c r="B10" i="3"/>
  <c r="G4" i="3"/>
  <c r="F10" i="3"/>
  <c r="H10" i="3"/>
  <c r="B4" i="3"/>
  <c r="H12" i="3"/>
  <c r="D4" i="3"/>
  <c r="G12" i="3"/>
  <c r="E6" i="3"/>
  <c r="D12" i="3"/>
  <c r="D10" i="3"/>
  <c r="C4" i="3"/>
  <c r="F12" i="3"/>
  <c r="F6" i="3"/>
  <c r="G3" i="3"/>
  <c r="D6" i="3"/>
  <c r="B6" i="3"/>
  <c r="E10" i="3"/>
  <c r="C6" i="3"/>
  <c r="D3" i="3"/>
  <c r="G6" i="3"/>
  <c r="E3" i="3"/>
  <c r="E12" i="3"/>
  <c r="C10" i="3"/>
  <c r="C3" i="3"/>
  <c r="C12" i="3"/>
  <c r="B10" i="2"/>
  <c r="H10" i="2"/>
  <c r="D10" i="2"/>
  <c r="G10" i="2"/>
  <c r="F10" i="2"/>
  <c r="E10" i="2"/>
  <c r="E12" i="2"/>
  <c r="C8" i="2"/>
  <c r="D12" i="2"/>
  <c r="H12" i="2"/>
  <c r="C12" i="2"/>
  <c r="G12" i="2"/>
  <c r="F12" i="2"/>
  <c r="E8" i="2"/>
  <c r="H8" i="2"/>
  <c r="G8" i="2"/>
  <c r="B8" i="2"/>
  <c r="F8" i="2"/>
  <c r="G14" i="2"/>
  <c r="F3" i="2"/>
  <c r="C14" i="2"/>
  <c r="B3" i="2"/>
  <c r="B14" i="2"/>
  <c r="F14" i="2"/>
  <c r="E4" i="2"/>
  <c r="D14" i="2"/>
  <c r="D4" i="2"/>
  <c r="C4" i="2"/>
  <c r="H3" i="2"/>
  <c r="E3" i="2"/>
  <c r="E14" i="2"/>
  <c r="D3" i="2"/>
  <c r="C3" i="2"/>
  <c r="F4" i="2"/>
  <c r="H4" i="2"/>
  <c r="G4" i="2"/>
  <c r="E10" i="1"/>
  <c r="C10" i="1"/>
  <c r="B10" i="1"/>
  <c r="H10" i="1"/>
  <c r="G10" i="1"/>
  <c r="D10" i="1"/>
  <c r="H8" i="1"/>
  <c r="C6" i="1"/>
  <c r="E4" i="1"/>
  <c r="E12" i="1"/>
  <c r="H14" i="1"/>
  <c r="F14" i="1"/>
  <c r="C12" i="1"/>
  <c r="G12" i="1"/>
  <c r="B6" i="1"/>
  <c r="G8" i="1"/>
  <c r="H12" i="1"/>
  <c r="H6" i="1"/>
  <c r="D4" i="1"/>
  <c r="B14" i="1"/>
  <c r="D12" i="1"/>
  <c r="G4" i="1"/>
  <c r="F4" i="1"/>
  <c r="E8" i="1"/>
  <c r="H4" i="1"/>
  <c r="D6" i="1"/>
  <c r="D8" i="1"/>
  <c r="C8" i="1"/>
  <c r="F6" i="1"/>
  <c r="B12" i="1"/>
  <c r="E6" i="1"/>
  <c r="C14" i="1"/>
  <c r="E14" i="1"/>
  <c r="G14" i="1"/>
  <c r="F8" i="1"/>
  <c r="C4" i="1"/>
</calcChain>
</file>

<file path=xl/sharedStrings.xml><?xml version="1.0" encoding="utf-8"?>
<sst xmlns="http://schemas.openxmlformats.org/spreadsheetml/2006/main" count="26" uniqueCount="15">
  <si>
    <t>FIRST DAY OF WEEK</t>
  </si>
  <si>
    <t>JANUARY</t>
  </si>
  <si>
    <t xml:space="preserve">  CALENDAR YEAR</t>
  </si>
  <si>
    <t>CALENDAR MONTH</t>
  </si>
  <si>
    <t>SEPTEMBER</t>
  </si>
  <si>
    <t>SUNDAY</t>
  </si>
  <si>
    <t>Meeting 19:00
No Net</t>
  </si>
  <si>
    <t>OCTOBER</t>
  </si>
  <si>
    <t>Louisville Hamfest</t>
  </si>
  <si>
    <t>WCKY ARES Net 19:30 
K9CHS</t>
  </si>
  <si>
    <t>WCKY ARES Net 19:30 
KD9GRD</t>
  </si>
  <si>
    <t>WCKY ARES Net 19:30 
KQ4TIV</t>
  </si>
  <si>
    <t>SCKY ARES Net 19:30</t>
  </si>
  <si>
    <t>KCARC Club Meeting 19:00</t>
  </si>
  <si>
    <t>Heart Healthcare Coalition Net 8:30am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</si>
</sst>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aaaa"/>
    <numFmt numFmtId="165" formatCode="dd"/>
  </numFmts>
  <fonts count="9" x14ac:knownFonts="1">
    <font>
      <sz val="11"/>
      <color theme="1"/>
      <name val="Calibri Light"/>
      <family val="2"/>
      <scheme val="minor"/>
    </font>
    <font>
      <sz val="32"/>
      <color theme="3"/>
      <name val="Calibri"/>
      <family val="2"/>
      <scheme val="major"/>
    </font>
    <font>
      <sz val="9"/>
      <color theme="1"/>
      <name val="Calibri Light"/>
      <family val="2"/>
      <scheme val="minor"/>
    </font>
    <font>
      <sz val="32"/>
      <color theme="4" tint="-0.24994659260841701"/>
      <name val="Calibri"/>
      <family val="2"/>
      <scheme val="major"/>
    </font>
    <font>
      <sz val="11"/>
      <color theme="1" tint="0.34998626667073579"/>
      <name val="Calibri Light"/>
      <family val="2"/>
      <scheme val="minor"/>
    </font>
    <font>
      <sz val="11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9"/>
      <color rgb="FF0070C0"/>
      <name val="Calibri Light"/>
      <family val="2"/>
      <scheme val="minor"/>
    </font>
    <font>
      <b/>
      <sz val="11"/>
      <color rgb="FFFF0000"/>
      <name val="Calibri Ligh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 tint="0.1499679555650502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medium">
        <color theme="1" tint="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9">
    <xf numFmtId="0" fontId="0" fillId="0" borderId="0" applyBorder="0">
      <alignment vertical="top"/>
    </xf>
    <xf numFmtId="0" fontId="4" fillId="0" borderId="0" applyNumberFormat="0" applyFill="0" applyBorder="0" applyProtection="0">
      <alignment vertical="top"/>
    </xf>
    <xf numFmtId="0" fontId="1" fillId="0" borderId="0" applyProtection="0">
      <alignment horizontal="left"/>
    </xf>
    <xf numFmtId="0" fontId="3" fillId="0" borderId="0" applyNumberFormat="0" applyProtection="0">
      <alignment horizontal="left"/>
    </xf>
    <xf numFmtId="0" fontId="5" fillId="0" borderId="0" applyNumberFormat="0" applyProtection="0">
      <alignment horizontal="right"/>
    </xf>
    <xf numFmtId="164" fontId="6" fillId="0" borderId="4" applyFill="0" applyProtection="0">
      <alignment horizontal="center" vertical="center"/>
    </xf>
    <xf numFmtId="165" fontId="5" fillId="0" borderId="5" applyFill="0" applyProtection="0">
      <alignment horizontal="right" vertical="center" indent="1"/>
    </xf>
    <xf numFmtId="0" fontId="2" fillId="0" borderId="2">
      <alignment vertical="top" wrapText="1"/>
    </xf>
    <xf numFmtId="0" fontId="4" fillId="0" borderId="0" applyFill="0" applyBorder="0" applyProtection="0">
      <alignment horizontal="right" vertical="top"/>
    </xf>
  </cellStyleXfs>
  <cellXfs count="26">
    <xf numFmtId="0" fontId="0" fillId="0" borderId="0" xfId="0">
      <alignment vertical="top"/>
    </xf>
    <xf numFmtId="0" fontId="4" fillId="0" borderId="0" xfId="1">
      <alignment vertical="top"/>
    </xf>
    <xf numFmtId="164" fontId="6" fillId="0" borderId="4" xfId="5">
      <alignment horizontal="center" vertical="center"/>
    </xf>
    <xf numFmtId="165" fontId="5" fillId="0" borderId="1" xfId="6" applyBorder="1">
      <alignment horizontal="right" vertical="center" indent="1"/>
    </xf>
    <xf numFmtId="165" fontId="5" fillId="0" borderId="3" xfId="6" applyBorder="1">
      <alignment horizontal="right" vertical="center" indent="1"/>
    </xf>
    <xf numFmtId="0" fontId="2" fillId="0" borderId="2" xfId="7">
      <alignment vertical="top" wrapText="1"/>
    </xf>
    <xf numFmtId="0" fontId="0" fillId="0" borderId="2" xfId="7" applyFont="1">
      <alignment vertical="top" wrapText="1"/>
    </xf>
    <xf numFmtId="0" fontId="3" fillId="0" borderId="0" xfId="3">
      <alignment horizontal="left"/>
    </xf>
    <xf numFmtId="0" fontId="5" fillId="0" borderId="0" xfId="4">
      <alignment horizontal="right"/>
    </xf>
    <xf numFmtId="0" fontId="4" fillId="0" borderId="0" xfId="8">
      <alignment horizontal="right" vertical="top"/>
    </xf>
    <xf numFmtId="0" fontId="1" fillId="0" borderId="0" xfId="2">
      <alignment horizontal="left"/>
    </xf>
    <xf numFmtId="0" fontId="4" fillId="0" borderId="0" xfId="1">
      <alignment vertical="top"/>
    </xf>
    <xf numFmtId="0" fontId="0" fillId="2" borderId="0" xfId="0" applyFill="1">
      <alignment vertical="top"/>
    </xf>
    <xf numFmtId="0" fontId="3" fillId="2" borderId="0" xfId="3" applyFill="1">
      <alignment horizontal="left"/>
    </xf>
    <xf numFmtId="0" fontId="1" fillId="2" borderId="0" xfId="2" applyFill="1">
      <alignment horizontal="left"/>
    </xf>
    <xf numFmtId="0" fontId="5" fillId="2" borderId="0" xfId="4" applyFill="1">
      <alignment horizontal="right"/>
    </xf>
    <xf numFmtId="0" fontId="4" fillId="2" borderId="0" xfId="1" applyFill="1">
      <alignment vertical="top"/>
    </xf>
    <xf numFmtId="0" fontId="4" fillId="2" borderId="0" xfId="1" applyFill="1">
      <alignment vertical="top"/>
    </xf>
    <xf numFmtId="0" fontId="4" fillId="2" borderId="0" xfId="8" applyFill="1">
      <alignment horizontal="right" vertical="top"/>
    </xf>
    <xf numFmtId="164" fontId="6" fillId="2" borderId="4" xfId="5" applyFill="1">
      <alignment horizontal="center" vertical="center"/>
    </xf>
    <xf numFmtId="165" fontId="5" fillId="2" borderId="1" xfId="6" applyFill="1" applyBorder="1">
      <alignment horizontal="right" vertical="center" indent="1"/>
    </xf>
    <xf numFmtId="0" fontId="0" fillId="2" borderId="2" xfId="7" applyFont="1" applyFill="1">
      <alignment vertical="top" wrapText="1"/>
    </xf>
    <xf numFmtId="0" fontId="8" fillId="2" borderId="2" xfId="7" applyFont="1" applyFill="1">
      <alignment vertical="top" wrapText="1"/>
    </xf>
    <xf numFmtId="165" fontId="5" fillId="2" borderId="3" xfId="6" applyFill="1" applyBorder="1">
      <alignment horizontal="right" vertical="center" indent="1"/>
    </xf>
    <xf numFmtId="0" fontId="2" fillId="2" borderId="2" xfId="7" applyFill="1">
      <alignment vertical="top" wrapText="1"/>
    </xf>
    <xf numFmtId="0" fontId="7" fillId="2" borderId="2" xfId="7" applyFont="1" applyFill="1">
      <alignment vertical="top" wrapText="1"/>
    </xf>
  </cellXfs>
  <cellStyles count="9">
    <cellStyle name="DayDescriptions" xfId="7" xr:uid="{00000000-0005-0000-0000-000000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 Label Left aligned" xfId="1" xr:uid="{00000000-0005-0000-0000-000005000000}"/>
    <cellStyle name="Input Label Right aligned" xfId="8" xr:uid="{00000000-0005-0000-0000-000006000000}"/>
    <cellStyle name="Normal" xfId="0" builtinId="0" customBuiltin="1"/>
    <cellStyle name="Title" xfId="2" builtinId="15" customBuiltin="1"/>
  </cellStyles>
  <dxfs count="1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Monthly Calendar">
      <a:dk1>
        <a:sysClr val="windowText" lastClr="000000"/>
      </a:dk1>
      <a:lt1>
        <a:sysClr val="window" lastClr="FFFFFF"/>
      </a:lt1>
      <a:dk2>
        <a:srgbClr val="122A2D"/>
      </a:dk2>
      <a:lt2>
        <a:srgbClr val="FFF8F2"/>
      </a:lt2>
      <a:accent1>
        <a:srgbClr val="47A6B5"/>
      </a:accent1>
      <a:accent2>
        <a:srgbClr val="FB933B"/>
      </a:accent2>
      <a:accent3>
        <a:srgbClr val="EAC235"/>
      </a:accent3>
      <a:accent4>
        <a:srgbClr val="6BC081"/>
      </a:accent4>
      <a:accent5>
        <a:srgbClr val="E66F3F"/>
      </a:accent5>
      <a:accent6>
        <a:srgbClr val="8F6B7D"/>
      </a:accent6>
      <a:hlink>
        <a:srgbClr val="47A6B5"/>
      </a:hlink>
      <a:folHlink>
        <a:srgbClr val="8F6B7D"/>
      </a:folHlink>
    </a:clrScheme>
    <a:fontScheme name="123b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>
            <a:lumMod val="95000"/>
          </a:schemeClr>
        </a:solidFill>
        <a:ln w="6350" cmpd="sng">
          <a:noFill/>
        </a:ln>
      </a:spPr>
      <a:bodyPr vertOverflow="clip" horzOverflow="clip" wrap="square" rtlCol="0" anchor="t"/>
      <a:lstStyle>
        <a:defPPr>
          <a:defRPr sz="1400">
            <a:solidFill>
              <a:schemeClr val="tx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69AF-B363-4A98-9E5D-461D5BAF29FF}">
  <sheetPr>
    <tabColor theme="4" tint="-0.499984740745262"/>
    <pageSetUpPr fitToPage="1"/>
  </sheetPr>
  <dimension ref="B1:H15"/>
  <sheetViews>
    <sheetView showGridLines="0" showRuler="0" zoomScaleNormal="100" workbookViewId="0">
      <selection activeCell="C1" sqref="C1:D1"/>
    </sheetView>
  </sheetViews>
  <sheetFormatPr defaultRowHeight="14.5" x14ac:dyDescent="0.35"/>
  <cols>
    <col min="1" max="1" width="2.453125" customWidth="1"/>
    <col min="2" max="8" width="20.6328125" customWidth="1"/>
  </cols>
  <sheetData>
    <row r="1" spans="2:8" ht="45" customHeight="1" x14ac:dyDescent="0.9">
      <c r="B1" s="7">
        <f ca="1">YEAR(TODAY())</f>
        <v>2026</v>
      </c>
      <c r="C1" s="10" t="s">
        <v>1</v>
      </c>
      <c r="D1" s="10"/>
      <c r="E1" s="8" t="s">
        <v>5</v>
      </c>
    </row>
    <row r="2" spans="2:8" ht="30" customHeight="1" x14ac:dyDescent="0.35">
      <c r="B2" s="1" t="s">
        <v>2</v>
      </c>
      <c r="C2" s="11" t="s">
        <v>3</v>
      </c>
      <c r="D2" s="11"/>
      <c r="E2" s="9" t="s">
        <v>0</v>
      </c>
    </row>
    <row r="3" spans="2:8" ht="19.5" customHeight="1" thickBot="1" x14ac:dyDescent="0.4">
      <c r="B3" s="2">
        <f t="array" aca="1" ref="B3:H3" ca="1">calendar</f>
        <v>46019</v>
      </c>
      <c r="C3" s="2">
        <f ca="1"/>
        <v>46020</v>
      </c>
      <c r="D3" s="2">
        <f ca="1"/>
        <v>46021</v>
      </c>
      <c r="E3" s="2">
        <f ca="1"/>
        <v>46022</v>
      </c>
      <c r="F3" s="2">
        <f ca="1"/>
        <v>46023</v>
      </c>
      <c r="G3" s="2">
        <f ca="1"/>
        <v>46024</v>
      </c>
      <c r="H3" s="2">
        <f ca="1"/>
        <v>46025</v>
      </c>
    </row>
    <row r="4" spans="2:8" ht="24" customHeight="1" thickTop="1" x14ac:dyDescent="0.35">
      <c r="B4" s="3">
        <f t="array" aca="1" ref="B4:H4" ca="1">INDEX(calendar,ndx+0)</f>
        <v>46019</v>
      </c>
      <c r="C4" s="3">
        <f ca="1"/>
        <v>46020</v>
      </c>
      <c r="D4" s="3">
        <f ca="1"/>
        <v>46021</v>
      </c>
      <c r="E4" s="3">
        <f ca="1"/>
        <v>46022</v>
      </c>
      <c r="F4" s="3">
        <f ca="1"/>
        <v>46023</v>
      </c>
      <c r="G4" s="3">
        <f ca="1"/>
        <v>46024</v>
      </c>
      <c r="H4" s="3">
        <f ca="1"/>
        <v>46025</v>
      </c>
    </row>
    <row r="5" spans="2:8" ht="51" customHeight="1" x14ac:dyDescent="0.35">
      <c r="B5" s="6"/>
      <c r="C5" s="6"/>
      <c r="D5" s="6"/>
      <c r="E5" s="6"/>
      <c r="F5" s="6"/>
      <c r="G5" s="6"/>
      <c r="H5" s="6"/>
    </row>
    <row r="6" spans="2:8" ht="24" customHeight="1" x14ac:dyDescent="0.35">
      <c r="B6" s="4">
        <f t="array" aca="1" ref="B6:H6" ca="1">INDEX(calendar,ndx+1)</f>
        <v>46026</v>
      </c>
      <c r="C6" s="4">
        <f ca="1"/>
        <v>46027</v>
      </c>
      <c r="D6" s="4">
        <f ca="1"/>
        <v>46028</v>
      </c>
      <c r="E6" s="4">
        <f ca="1"/>
        <v>46029</v>
      </c>
      <c r="F6" s="4">
        <f ca="1"/>
        <v>46030</v>
      </c>
      <c r="G6" s="4">
        <f ca="1"/>
        <v>46031</v>
      </c>
      <c r="H6" s="4">
        <f ca="1"/>
        <v>46032</v>
      </c>
    </row>
    <row r="7" spans="2:8" ht="51" customHeight="1" x14ac:dyDescent="0.35">
      <c r="B7" s="6"/>
      <c r="C7" s="5"/>
      <c r="D7" s="5"/>
      <c r="E7" s="5"/>
      <c r="F7" s="5"/>
      <c r="G7" s="5"/>
      <c r="H7" s="5"/>
    </row>
    <row r="8" spans="2:8" ht="24" customHeight="1" x14ac:dyDescent="0.35">
      <c r="B8" s="4">
        <f t="array" aca="1" ref="B8:H8" ca="1">INDEX(calendar,ndx+2)</f>
        <v>46033</v>
      </c>
      <c r="C8" s="4">
        <f ca="1"/>
        <v>46034</v>
      </c>
      <c r="D8" s="4">
        <f ca="1"/>
        <v>46035</v>
      </c>
      <c r="E8" s="4">
        <f ca="1"/>
        <v>46036</v>
      </c>
      <c r="F8" s="4">
        <f ca="1"/>
        <v>46037</v>
      </c>
      <c r="G8" s="4">
        <f ca="1"/>
        <v>46038</v>
      </c>
      <c r="H8" s="4">
        <f ca="1"/>
        <v>46039</v>
      </c>
    </row>
    <row r="9" spans="2:8" ht="51" customHeight="1" x14ac:dyDescent="0.35">
      <c r="B9" s="6"/>
      <c r="C9" s="5"/>
      <c r="D9" s="5"/>
      <c r="E9" s="5"/>
      <c r="F9" s="5"/>
      <c r="G9" s="5"/>
      <c r="H9" s="5"/>
    </row>
    <row r="10" spans="2:8" ht="24" customHeight="1" x14ac:dyDescent="0.35">
      <c r="B10" s="4">
        <f t="array" aca="1" ref="B10:H10" ca="1">INDEX(calendar,ndx+3)</f>
        <v>46040</v>
      </c>
      <c r="C10" s="4">
        <f ca="1"/>
        <v>46041</v>
      </c>
      <c r="D10" s="4">
        <f ca="1"/>
        <v>46042</v>
      </c>
      <c r="E10" s="4">
        <f ca="1"/>
        <v>46043</v>
      </c>
      <c r="F10" s="4">
        <f ca="1"/>
        <v>46044</v>
      </c>
      <c r="G10" s="4">
        <f ca="1"/>
        <v>46045</v>
      </c>
      <c r="H10" s="4">
        <f ca="1"/>
        <v>46046</v>
      </c>
    </row>
    <row r="11" spans="2:8" ht="51" customHeight="1" x14ac:dyDescent="0.35">
      <c r="B11" s="5"/>
      <c r="C11" s="5"/>
      <c r="D11" s="5"/>
      <c r="E11" s="5"/>
      <c r="F11" s="5"/>
      <c r="G11" s="5"/>
      <c r="H11" s="5"/>
    </row>
    <row r="12" spans="2:8" ht="24" customHeight="1" x14ac:dyDescent="0.35">
      <c r="B12" s="4">
        <f t="array" aca="1" ref="B12:H12" ca="1">INDEX(calendar,ndx+4)</f>
        <v>46047</v>
      </c>
      <c r="C12" s="4">
        <f ca="1"/>
        <v>46048</v>
      </c>
      <c r="D12" s="4">
        <f ca="1"/>
        <v>46049</v>
      </c>
      <c r="E12" s="4">
        <f ca="1"/>
        <v>46050</v>
      </c>
      <c r="F12" s="4">
        <f ca="1"/>
        <v>46051</v>
      </c>
      <c r="G12" s="4">
        <f ca="1"/>
        <v>46052</v>
      </c>
      <c r="H12" s="4">
        <f ca="1"/>
        <v>46053</v>
      </c>
    </row>
    <row r="13" spans="2:8" ht="51" customHeight="1" x14ac:dyDescent="0.35">
      <c r="B13" s="5"/>
      <c r="C13" s="6"/>
      <c r="D13" s="6"/>
      <c r="E13" s="6"/>
      <c r="F13" s="5"/>
      <c r="G13" s="5"/>
      <c r="H13" s="5"/>
    </row>
    <row r="14" spans="2:8" ht="23.25" customHeight="1" x14ac:dyDescent="0.35">
      <c r="B14" s="4">
        <f t="array" aca="1" ref="B14:H14" ca="1">INDEX(calendar,ndx+5)</f>
        <v>46054</v>
      </c>
      <c r="C14" s="4">
        <f ca="1"/>
        <v>46055</v>
      </c>
      <c r="D14" s="4">
        <f ca="1"/>
        <v>46056</v>
      </c>
      <c r="E14" s="4">
        <f ca="1"/>
        <v>46057</v>
      </c>
      <c r="F14" s="4">
        <f ca="1"/>
        <v>46058</v>
      </c>
      <c r="G14" s="4">
        <f ca="1"/>
        <v>46059</v>
      </c>
      <c r="H14" s="4">
        <f ca="1"/>
        <v>46060</v>
      </c>
    </row>
    <row r="15" spans="2:8" ht="51" customHeight="1" x14ac:dyDescent="0.35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5" priority="1">
      <formula>MonthToDisplayNumber&lt;&gt;MONTH(B4)</formula>
    </cfRule>
  </conditionalFormatting>
  <conditionalFormatting sqref="B6:H6">
    <cfRule type="expression" dxfId="4" priority="6">
      <formula>MonthToDisplayNumber&lt;&gt;MONTH(B6)</formula>
    </cfRule>
  </conditionalFormatting>
  <conditionalFormatting sqref="B8:H8">
    <cfRule type="expression" dxfId="3" priority="5">
      <formula>MonthToDisplayNumber&lt;&gt;MONTH(B8)</formula>
    </cfRule>
  </conditionalFormatting>
  <conditionalFormatting sqref="B10:H10">
    <cfRule type="expression" dxfId="2" priority="4">
      <formula>MonthToDisplayNumber&lt;&gt;MONTH(B10)</formula>
    </cfRule>
  </conditionalFormatting>
  <conditionalFormatting sqref="B12:H12">
    <cfRule type="expression" dxfId="1" priority="3">
      <formula>MonthToDisplayNumber&lt;&gt;MONTH(B12)</formula>
    </cfRule>
  </conditionalFormatting>
  <conditionalFormatting sqref="B14:H14">
    <cfRule type="expression" dxfId="0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161B08EF-688D-48A1-89BB-BDC30457395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5DD8E550-0093-44E7-826F-E7AF9D111520}"/>
    <dataValidation allowBlank="1" showInputMessage="1" showErrorMessage="1" prompt="Rows 12 and 14 may contain dates for the following month if the end of this month concludes in either row" sqref="B12" xr:uid="{FAFA6AFD-73D3-411E-BC82-A718289E3887}"/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7A6D9BE4-E424-40EB-AF1E-2857EFEDB83B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BCDFD2FF-D83B-4D7A-93ED-2D542CFFFDE6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719B26D5-4C8C-494D-AD7A-54D491225D30}"/>
    <dataValidation allowBlank="1" showInputMessage="1" showErrorMessage="1" prompt="Enter the year for this calendar month" sqref="B1" xr:uid="{19AAFBEF-3942-4A3A-9ECA-47492F15C5A3}"/>
    <dataValidation allowBlank="1" showInputMessage="1" showErrorMessage="1" prompt="Enter daily notes in this cell. Rows 5, 7, 9, 11, 13 and 15 have cells beneath the day of the week for daily notes" sqref="B5" xr:uid="{6445B25E-B3B0-4C50-BEF1-E8EA8ED2F53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499984740745262"/>
    <pageSetUpPr fitToPage="1"/>
  </sheetPr>
  <dimension ref="A1:H15"/>
  <sheetViews>
    <sheetView showGridLines="0" tabSelected="1" showRuler="0" zoomScaleNormal="100" workbookViewId="0"/>
  </sheetViews>
  <sheetFormatPr defaultRowHeight="14.5" x14ac:dyDescent="0.35"/>
  <cols>
    <col min="1" max="1" width="2.453125" customWidth="1"/>
    <col min="2" max="8" width="20.6328125" customWidth="1"/>
  </cols>
  <sheetData>
    <row r="1" spans="1:8" ht="45" customHeight="1" x14ac:dyDescent="0.9">
      <c r="A1" s="12"/>
      <c r="B1" s="13">
        <f ca="1">YEAR(TODAY())</f>
        <v>2026</v>
      </c>
      <c r="C1" s="14" t="s">
        <v>4</v>
      </c>
      <c r="D1" s="14"/>
      <c r="E1" s="15" t="s">
        <v>5</v>
      </c>
      <c r="F1" s="12"/>
      <c r="G1" s="12"/>
      <c r="H1" s="12"/>
    </row>
    <row r="2" spans="1:8" ht="30" customHeight="1" x14ac:dyDescent="0.35">
      <c r="A2" s="12"/>
      <c r="B2" s="16" t="s">
        <v>2</v>
      </c>
      <c r="C2" s="17" t="s">
        <v>3</v>
      </c>
      <c r="D2" s="17"/>
      <c r="E2" s="18" t="s">
        <v>0</v>
      </c>
      <c r="F2" s="12"/>
      <c r="G2" s="12"/>
      <c r="H2" s="12"/>
    </row>
    <row r="3" spans="1:8" ht="19.5" customHeight="1" thickBot="1" x14ac:dyDescent="0.4">
      <c r="A3" s="12"/>
      <c r="B3" s="19">
        <f t="array" aca="1" ref="B3:H3" ca="1">calendar</f>
        <v>46264</v>
      </c>
      <c r="C3" s="19">
        <f ca="1"/>
        <v>46265</v>
      </c>
      <c r="D3" s="19">
        <f ca="1"/>
        <v>46266</v>
      </c>
      <c r="E3" s="19">
        <f ca="1"/>
        <v>46267</v>
      </c>
      <c r="F3" s="19">
        <f ca="1"/>
        <v>46268</v>
      </c>
      <c r="G3" s="19">
        <f ca="1"/>
        <v>46269</v>
      </c>
      <c r="H3" s="19">
        <f ca="1"/>
        <v>46270</v>
      </c>
    </row>
    <row r="4" spans="1:8" ht="24" customHeight="1" thickTop="1" x14ac:dyDescent="0.35">
      <c r="A4" s="12"/>
      <c r="B4" s="20">
        <f t="array" aca="1" ref="B4:H4" ca="1">INDEX(calendar,ndx+0)</f>
        <v>46264</v>
      </c>
      <c r="C4" s="20">
        <f ca="1"/>
        <v>46265</v>
      </c>
      <c r="D4" s="20">
        <f ca="1"/>
        <v>46266</v>
      </c>
      <c r="E4" s="20">
        <f ca="1"/>
        <v>46267</v>
      </c>
      <c r="F4" s="20">
        <f ca="1"/>
        <v>46268</v>
      </c>
      <c r="G4" s="20">
        <f ca="1"/>
        <v>46269</v>
      </c>
      <c r="H4" s="20">
        <f ca="1"/>
        <v>46270</v>
      </c>
    </row>
    <row r="5" spans="1:8" ht="51" customHeight="1" x14ac:dyDescent="0.35">
      <c r="A5" s="12"/>
      <c r="B5" s="21"/>
      <c r="C5" s="21"/>
      <c r="D5" s="24" t="s">
        <v>14</v>
      </c>
      <c r="E5" s="21"/>
      <c r="F5" s="22" t="s">
        <v>6</v>
      </c>
      <c r="G5" s="21"/>
      <c r="H5" s="21"/>
    </row>
    <row r="6" spans="1:8" ht="24" customHeight="1" x14ac:dyDescent="0.35">
      <c r="A6" s="12"/>
      <c r="B6" s="23">
        <f t="array" aca="1" ref="B6:H6" ca="1">INDEX(calendar,ndx+1)</f>
        <v>46271</v>
      </c>
      <c r="C6" s="23">
        <f ca="1"/>
        <v>46272</v>
      </c>
      <c r="D6" s="23">
        <f ca="1"/>
        <v>46273</v>
      </c>
      <c r="E6" s="23">
        <f ca="1"/>
        <v>46274</v>
      </c>
      <c r="F6" s="23">
        <f ca="1"/>
        <v>46275</v>
      </c>
      <c r="G6" s="23">
        <f ca="1"/>
        <v>46276</v>
      </c>
      <c r="H6" s="23">
        <f ca="1"/>
        <v>46277</v>
      </c>
    </row>
    <row r="7" spans="1:8" ht="51" customHeight="1" x14ac:dyDescent="0.35">
      <c r="A7" s="12"/>
      <c r="B7" s="21"/>
      <c r="C7" s="24"/>
      <c r="D7" s="24"/>
      <c r="E7" s="24" t="s">
        <v>12</v>
      </c>
      <c r="F7" s="25" t="s">
        <v>11</v>
      </c>
      <c r="G7" s="24"/>
      <c r="H7" s="24" t="s">
        <v>8</v>
      </c>
    </row>
    <row r="8" spans="1:8" ht="24" customHeight="1" x14ac:dyDescent="0.35">
      <c r="A8" s="12"/>
      <c r="B8" s="23">
        <f t="array" aca="1" ref="B8:H8" ca="1">INDEX(calendar,ndx+2)</f>
        <v>46278</v>
      </c>
      <c r="C8" s="23">
        <f ca="1"/>
        <v>46279</v>
      </c>
      <c r="D8" s="23">
        <f ca="1"/>
        <v>46280</v>
      </c>
      <c r="E8" s="23">
        <f ca="1"/>
        <v>46281</v>
      </c>
      <c r="F8" s="23">
        <f ca="1"/>
        <v>46282</v>
      </c>
      <c r="G8" s="23">
        <f ca="1"/>
        <v>46283</v>
      </c>
      <c r="H8" s="23">
        <f ca="1"/>
        <v>46284</v>
      </c>
    </row>
    <row r="9" spans="1:8" ht="51" customHeight="1" x14ac:dyDescent="0.35">
      <c r="A9" s="12"/>
      <c r="B9" s="21"/>
      <c r="C9" s="24"/>
      <c r="D9" s="24"/>
      <c r="E9" s="24" t="s">
        <v>12</v>
      </c>
      <c r="F9" s="25" t="s">
        <v>9</v>
      </c>
      <c r="G9" s="24"/>
      <c r="H9" s="24"/>
    </row>
    <row r="10" spans="1:8" ht="24" customHeight="1" x14ac:dyDescent="0.35">
      <c r="A10" s="12"/>
      <c r="B10" s="23">
        <f t="array" aca="1" ref="B10:H10" ca="1">INDEX(calendar,ndx+3)</f>
        <v>46285</v>
      </c>
      <c r="C10" s="23">
        <f ca="1"/>
        <v>46286</v>
      </c>
      <c r="D10" s="23">
        <f ca="1"/>
        <v>46287</v>
      </c>
      <c r="E10" s="23">
        <f ca="1"/>
        <v>46288</v>
      </c>
      <c r="F10" s="23">
        <f ca="1"/>
        <v>46289</v>
      </c>
      <c r="G10" s="23">
        <f ca="1"/>
        <v>46290</v>
      </c>
      <c r="H10" s="23">
        <f ca="1"/>
        <v>46291</v>
      </c>
    </row>
    <row r="11" spans="1:8" ht="51" customHeight="1" x14ac:dyDescent="0.35">
      <c r="A11" s="12"/>
      <c r="B11" s="24"/>
      <c r="C11" s="24"/>
      <c r="D11" s="24" t="s">
        <v>13</v>
      </c>
      <c r="E11" s="24" t="s">
        <v>12</v>
      </c>
      <c r="F11" s="25" t="s">
        <v>10</v>
      </c>
      <c r="G11" s="24"/>
      <c r="H11" s="24"/>
    </row>
    <row r="12" spans="1:8" ht="24" customHeight="1" x14ac:dyDescent="0.35">
      <c r="A12" s="12"/>
      <c r="B12" s="23">
        <f t="array" aca="1" ref="B12:H12" ca="1">INDEX(calendar,ndx+4)</f>
        <v>46292</v>
      </c>
      <c r="C12" s="23">
        <f ca="1"/>
        <v>46293</v>
      </c>
      <c r="D12" s="23">
        <f ca="1"/>
        <v>46294</v>
      </c>
      <c r="E12" s="23">
        <f ca="1"/>
        <v>46295</v>
      </c>
      <c r="F12" s="23">
        <f ca="1"/>
        <v>46296</v>
      </c>
      <c r="G12" s="23">
        <f ca="1"/>
        <v>46297</v>
      </c>
      <c r="H12" s="23">
        <f ca="1"/>
        <v>46298</v>
      </c>
    </row>
    <row r="13" spans="1:8" ht="51" customHeight="1" x14ac:dyDescent="0.35">
      <c r="A13" s="12"/>
      <c r="B13" s="24"/>
      <c r="C13" s="21"/>
      <c r="D13" s="21"/>
      <c r="E13" s="24" t="s">
        <v>12</v>
      </c>
      <c r="F13" s="24"/>
      <c r="G13" s="24"/>
      <c r="H13" s="24"/>
    </row>
    <row r="14" spans="1:8" ht="23.25" customHeight="1" x14ac:dyDescent="0.35">
      <c r="A14" s="12"/>
      <c r="B14" s="23">
        <f t="array" aca="1" ref="B14:H14" ca="1">INDEX(calendar,ndx+5)</f>
        <v>46299</v>
      </c>
      <c r="C14" s="23">
        <f ca="1"/>
        <v>46300</v>
      </c>
      <c r="D14" s="23">
        <f ca="1"/>
        <v>46301</v>
      </c>
      <c r="E14" s="23">
        <f ca="1"/>
        <v>46302</v>
      </c>
      <c r="F14" s="23">
        <f ca="1"/>
        <v>46303</v>
      </c>
      <c r="G14" s="23">
        <f ca="1"/>
        <v>46304</v>
      </c>
      <c r="H14" s="23">
        <f ca="1"/>
        <v>46305</v>
      </c>
    </row>
    <row r="15" spans="1:8" ht="51" customHeight="1" x14ac:dyDescent="0.35">
      <c r="A15" s="12"/>
      <c r="B15" s="24"/>
      <c r="C15" s="24"/>
      <c r="D15" s="24"/>
      <c r="E15" s="21"/>
      <c r="F15" s="24"/>
      <c r="G15" s="24"/>
      <c r="H15" s="24"/>
    </row>
  </sheetData>
  <mergeCells count="2">
    <mergeCell ref="C1:D1"/>
    <mergeCell ref="C2:D2"/>
  </mergeCells>
  <conditionalFormatting sqref="B4:H4">
    <cfRule type="expression" dxfId="17" priority="1">
      <formula>MonthToDisplayNumber&lt;&gt;MONTH(B4)</formula>
    </cfRule>
  </conditionalFormatting>
  <conditionalFormatting sqref="B6:H6">
    <cfRule type="expression" dxfId="16" priority="6">
      <formula>MonthToDisplayNumber&lt;&gt;MONTH(B6)</formula>
    </cfRule>
  </conditionalFormatting>
  <conditionalFormatting sqref="B8:H8">
    <cfRule type="expression" dxfId="15" priority="5">
      <formula>MonthToDisplayNumber&lt;&gt;MONTH(B8)</formula>
    </cfRule>
  </conditionalFormatting>
  <conditionalFormatting sqref="B10:H10">
    <cfRule type="expression" dxfId="14" priority="4">
      <formula>MonthToDisplayNumber&lt;&gt;MONTH(B10)</formula>
    </cfRule>
  </conditionalFormatting>
  <conditionalFormatting sqref="B12:H12">
    <cfRule type="expression" dxfId="13" priority="3">
      <formula>MonthToDisplayNumber&lt;&gt;MONTH(B12)</formula>
    </cfRule>
  </conditionalFormatting>
  <conditionalFormatting sqref="B14:H14">
    <cfRule type="expression" dxfId="12" priority="2">
      <formula>MonthToDisplayNumber&lt;&gt;MONTH(B14)</formula>
    </cfRule>
  </conditionalFormatting>
  <dataValidations count="8"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0000000-0002-0000-0000-000000000000}">
      <formula1>"MONDAY,TUESDAY,WEDNESDAY,THURSDAY,FRIDAY,SATURDAY,SUNDAY"</formula1>
    </dataValidation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00000000-0002-0000-0000-000001000000}">
      <formula1>"JANUARY,FEBRUARY,MARCH,APRIL,MAY,JUNE,JULY,AUGUST,SEPTEMBER,OCTOBER,NOVEMBER,DECEMBER"</formula1>
    </dataValidation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00000000-0002-0000-0000-000002000000}"/>
    <dataValidation allowBlank="1" showInputMessage="1" showErrorMessage="1" prompt="Enter the year for this calendar month" sqref="B1" xr:uid="{00000000-0002-0000-0000-000003000000}"/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0000000-0002-0000-0000-000004000000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00000000-0002-0000-0000-000005000000}"/>
    <dataValidation allowBlank="1" showInputMessage="1" showErrorMessage="1" prompt="Enter daily notes in this cell. Rows 5, 7, 9, 11, 13 and 15 have cells beneath the day of the week for daily notes" sqref="B5" xr:uid="{00000000-0002-0000-0000-000006000000}"/>
    <dataValidation allowBlank="1" showInputMessage="1" showErrorMessage="1" prompt="Rows 12 and 14 may contain dates for the following month if the end of this month concludes in either row" sqref="B12" xr:uid="{00000000-0002-0000-0000-000007000000}"/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0397-9F59-4922-BD3D-2A848B00B4F8}">
  <sheetPr>
    <tabColor theme="4" tint="-0.499984740745262"/>
    <pageSetUpPr fitToPage="1"/>
  </sheetPr>
  <dimension ref="B1:H15"/>
  <sheetViews>
    <sheetView showGridLines="0" showRuler="0" zoomScaleNormal="100" workbookViewId="0">
      <selection activeCell="B5" sqref="B5"/>
    </sheetView>
  </sheetViews>
  <sheetFormatPr defaultRowHeight="14.5" x14ac:dyDescent="0.35"/>
  <cols>
    <col min="1" max="1" width="2.453125" customWidth="1"/>
    <col min="2" max="8" width="20.6328125" customWidth="1"/>
  </cols>
  <sheetData>
    <row r="1" spans="2:8" ht="45" customHeight="1" x14ac:dyDescent="0.9">
      <c r="B1" s="7">
        <f ca="1">YEAR(TODAY())</f>
        <v>2026</v>
      </c>
      <c r="C1" s="10" t="s">
        <v>7</v>
      </c>
      <c r="D1" s="10"/>
      <c r="E1" s="8" t="s">
        <v>5</v>
      </c>
    </row>
    <row r="2" spans="2:8" ht="30" customHeight="1" x14ac:dyDescent="0.35">
      <c r="B2" s="1" t="s">
        <v>2</v>
      </c>
      <c r="C2" s="11" t="s">
        <v>3</v>
      </c>
      <c r="D2" s="11"/>
      <c r="E2" s="9" t="s">
        <v>0</v>
      </c>
    </row>
    <row r="3" spans="2:8" ht="19.5" customHeight="1" thickBot="1" x14ac:dyDescent="0.4">
      <c r="B3" s="2">
        <f t="array" aca="1" ref="B3:H3" ca="1">calendar</f>
        <v>46292</v>
      </c>
      <c r="C3" s="2">
        <f ca="1"/>
        <v>46293</v>
      </c>
      <c r="D3" s="2">
        <f ca="1"/>
        <v>46294</v>
      </c>
      <c r="E3" s="2">
        <f ca="1"/>
        <v>46295</v>
      </c>
      <c r="F3" s="2">
        <f ca="1"/>
        <v>46296</v>
      </c>
      <c r="G3" s="2">
        <f ca="1"/>
        <v>46297</v>
      </c>
      <c r="H3" s="2">
        <f ca="1"/>
        <v>46298</v>
      </c>
    </row>
    <row r="4" spans="2:8" ht="24" customHeight="1" thickTop="1" x14ac:dyDescent="0.35">
      <c r="B4" s="3">
        <f t="array" aca="1" ref="B4:H4" ca="1">INDEX(calendar,ndx+0)</f>
        <v>46292</v>
      </c>
      <c r="C4" s="3">
        <f ca="1"/>
        <v>46293</v>
      </c>
      <c r="D4" s="3">
        <f ca="1"/>
        <v>46294</v>
      </c>
      <c r="E4" s="3">
        <f ca="1"/>
        <v>46295</v>
      </c>
      <c r="F4" s="3">
        <f ca="1"/>
        <v>46296</v>
      </c>
      <c r="G4" s="3">
        <f ca="1"/>
        <v>46297</v>
      </c>
      <c r="H4" s="3">
        <f ca="1"/>
        <v>46298</v>
      </c>
    </row>
    <row r="5" spans="2:8" ht="51" customHeight="1" x14ac:dyDescent="0.35">
      <c r="B5" s="6"/>
      <c r="C5" s="6"/>
      <c r="D5" s="6"/>
      <c r="E5" s="6"/>
      <c r="F5" s="6"/>
      <c r="G5" s="6"/>
      <c r="H5" s="6"/>
    </row>
    <row r="6" spans="2:8" ht="24" customHeight="1" x14ac:dyDescent="0.35">
      <c r="B6" s="4">
        <f t="array" aca="1" ref="B6:H6" ca="1">INDEX(calendar,ndx+1)</f>
        <v>46299</v>
      </c>
      <c r="C6" s="4">
        <f ca="1"/>
        <v>46300</v>
      </c>
      <c r="D6" s="4">
        <f ca="1"/>
        <v>46301</v>
      </c>
      <c r="E6" s="4">
        <f ca="1"/>
        <v>46302</v>
      </c>
      <c r="F6" s="4">
        <f ca="1"/>
        <v>46303</v>
      </c>
      <c r="G6" s="4">
        <f ca="1"/>
        <v>46304</v>
      </c>
      <c r="H6" s="4">
        <f ca="1"/>
        <v>46305</v>
      </c>
    </row>
    <row r="7" spans="2:8" ht="51" customHeight="1" x14ac:dyDescent="0.35">
      <c r="B7" s="6"/>
      <c r="C7" s="5"/>
      <c r="D7" s="5"/>
      <c r="E7" s="5"/>
      <c r="F7" s="5"/>
      <c r="G7" s="5"/>
      <c r="H7" s="5"/>
    </row>
    <row r="8" spans="2:8" ht="24" customHeight="1" x14ac:dyDescent="0.35">
      <c r="B8" s="4">
        <f t="array" aca="1" ref="B8:H8" ca="1">INDEX(calendar,ndx+2)</f>
        <v>46306</v>
      </c>
      <c r="C8" s="4">
        <f ca="1"/>
        <v>46307</v>
      </c>
      <c r="D8" s="4">
        <f ca="1"/>
        <v>46308</v>
      </c>
      <c r="E8" s="4">
        <f ca="1"/>
        <v>46309</v>
      </c>
      <c r="F8" s="4">
        <f ca="1"/>
        <v>46310</v>
      </c>
      <c r="G8" s="4">
        <f ca="1"/>
        <v>46311</v>
      </c>
      <c r="H8" s="4">
        <f ca="1"/>
        <v>46312</v>
      </c>
    </row>
    <row r="9" spans="2:8" ht="51" customHeight="1" x14ac:dyDescent="0.35">
      <c r="B9" s="6"/>
      <c r="C9" s="5"/>
      <c r="D9" s="5"/>
      <c r="E9" s="5"/>
      <c r="F9" s="5"/>
      <c r="G9" s="5"/>
      <c r="H9" s="5"/>
    </row>
    <row r="10" spans="2:8" ht="24" customHeight="1" x14ac:dyDescent="0.35">
      <c r="B10" s="4">
        <f t="array" aca="1" ref="B10:H10" ca="1">INDEX(calendar,ndx+3)</f>
        <v>46313</v>
      </c>
      <c r="C10" s="4">
        <f ca="1"/>
        <v>46314</v>
      </c>
      <c r="D10" s="4">
        <f ca="1"/>
        <v>46315</v>
      </c>
      <c r="E10" s="4">
        <f ca="1"/>
        <v>46316</v>
      </c>
      <c r="F10" s="4">
        <f ca="1"/>
        <v>46317</v>
      </c>
      <c r="G10" s="4">
        <f ca="1"/>
        <v>46318</v>
      </c>
      <c r="H10" s="4">
        <f ca="1"/>
        <v>46319</v>
      </c>
    </row>
    <row r="11" spans="2:8" ht="51" customHeight="1" x14ac:dyDescent="0.35">
      <c r="B11" s="5"/>
      <c r="C11" s="5"/>
      <c r="D11" s="5"/>
      <c r="E11" s="5"/>
      <c r="F11" s="5"/>
      <c r="G11" s="5"/>
      <c r="H11" s="5"/>
    </row>
    <row r="12" spans="2:8" ht="24" customHeight="1" x14ac:dyDescent="0.35">
      <c r="B12" s="4">
        <f t="array" aca="1" ref="B12:H12" ca="1">INDEX(calendar,ndx+4)</f>
        <v>46320</v>
      </c>
      <c r="C12" s="4">
        <f ca="1"/>
        <v>46321</v>
      </c>
      <c r="D12" s="4">
        <f ca="1"/>
        <v>46322</v>
      </c>
      <c r="E12" s="4">
        <f ca="1"/>
        <v>46323</v>
      </c>
      <c r="F12" s="4">
        <f ca="1"/>
        <v>46324</v>
      </c>
      <c r="G12" s="4">
        <f ca="1"/>
        <v>46325</v>
      </c>
      <c r="H12" s="4">
        <f ca="1"/>
        <v>46326</v>
      </c>
    </row>
    <row r="13" spans="2:8" ht="51" customHeight="1" x14ac:dyDescent="0.35">
      <c r="B13" s="5"/>
      <c r="C13" s="6"/>
      <c r="D13" s="6"/>
      <c r="E13" s="6"/>
      <c r="F13" s="5"/>
      <c r="G13" s="5"/>
      <c r="H13" s="5"/>
    </row>
    <row r="14" spans="2:8" ht="23.25" customHeight="1" x14ac:dyDescent="0.35">
      <c r="B14" s="4">
        <f t="array" aca="1" ref="B14:H14" ca="1">INDEX(calendar,ndx+5)</f>
        <v>46327</v>
      </c>
      <c r="C14" s="4">
        <f ca="1"/>
        <v>46328</v>
      </c>
      <c r="D14" s="4">
        <f ca="1"/>
        <v>46329</v>
      </c>
      <c r="E14" s="4">
        <f ca="1"/>
        <v>46330</v>
      </c>
      <c r="F14" s="4">
        <f ca="1"/>
        <v>46331</v>
      </c>
      <c r="G14" s="4">
        <f ca="1"/>
        <v>46332</v>
      </c>
      <c r="H14" s="4">
        <f ca="1"/>
        <v>46333</v>
      </c>
    </row>
    <row r="15" spans="2:8" ht="51" customHeight="1" x14ac:dyDescent="0.35">
      <c r="B15" s="5"/>
      <c r="C15" s="5"/>
      <c r="D15" s="5"/>
      <c r="E15" s="6"/>
      <c r="F15" s="5"/>
      <c r="G15" s="5"/>
      <c r="H15" s="5"/>
    </row>
  </sheetData>
  <mergeCells count="2">
    <mergeCell ref="C1:D1"/>
    <mergeCell ref="C2:D2"/>
  </mergeCells>
  <conditionalFormatting sqref="B4:H4">
    <cfRule type="expression" dxfId="11" priority="1">
      <formula>MonthToDisplayNumber&lt;&gt;MONTH(B4)</formula>
    </cfRule>
  </conditionalFormatting>
  <conditionalFormatting sqref="B6:H6">
    <cfRule type="expression" dxfId="10" priority="6">
      <formula>MonthToDisplayNumber&lt;&gt;MONTH(B6)</formula>
    </cfRule>
  </conditionalFormatting>
  <conditionalFormatting sqref="B8:H8">
    <cfRule type="expression" dxfId="9" priority="5">
      <formula>MonthToDisplayNumber&lt;&gt;MONTH(B8)</formula>
    </cfRule>
  </conditionalFormatting>
  <conditionalFormatting sqref="B10:H10">
    <cfRule type="expression" dxfId="8" priority="4">
      <formula>MonthToDisplayNumber&lt;&gt;MONTH(B10)</formula>
    </cfRule>
  </conditionalFormatting>
  <conditionalFormatting sqref="B12:H12">
    <cfRule type="expression" dxfId="7" priority="3">
      <formula>MonthToDisplayNumber&lt;&gt;MONTH(B12)</formula>
    </cfRule>
  </conditionalFormatting>
  <conditionalFormatting sqref="B14:H14">
    <cfRule type="expression" dxfId="6" priority="2">
      <formula>MonthToDisplayNumber&lt;&gt;MONTH(B14)</formula>
    </cfRule>
  </conditionalFormatting>
  <dataValidations count="8">
    <dataValidation allowBlank="1" showInputMessage="1" showErrorMessage="1" prompt="This row contains the weekday names for this calendar. This cell contains the starting day of week. To change the starting day of the week, enter or select a new weekday in cell E1" sqref="B3" xr:uid="{08784259-4BBF-4B95-BC96-EE19987B3B89}"/>
    <dataValidation allowBlank="1" showInputMessage="1" showErrorMessage="1" prompt="This cell contains the starting day number for the weekday in the heading in row 3 above this cell. If this cell is not the number 1, then it is a day from the previous month. Rows 4, 6, 8, 10, 12 and 14 contain the day number for the day of the week" sqref="B4" xr:uid="{38E4D96A-EB9F-4AF2-8E56-696617DBFA8D}"/>
    <dataValidation allowBlank="1" showInputMessage="1" showErrorMessage="1" prompt="Rows 12 and 14 may contain dates for the following month if the end of this month concludes in either row" sqref="B12" xr:uid="{1F0A8369-B7E1-4C30-9AE4-3E8D8050A02D}"/>
    <dataValidation allowBlank="1" showInputMessage="1" showErrorMessage="1" prompt="Enter daily notes in this cell. Rows 5, 7, 9, 11, 13 and 15 have cells beneath the day of the week for daily notes" sqref="B5" xr:uid="{C499DFA6-8F6F-4355-BADF-7D3413FF4944}"/>
    <dataValidation allowBlank="1" showInputMessage="1" showErrorMessage="1" prompt="Enter the year for this calendar month" sqref="B1" xr:uid="{61CDFB1E-27CC-43B5-9DB6-C2F97076A69E}"/>
    <dataValidation allowBlank="1" showInputMessage="1" showErrorMessage="1" prompt="This calendar is a one-month calendar for any year and any month. Select the month in C1 and enter a year in B1. Select the calendar's starting day of the week in E1. Enter daily notes in rows 5, 7, 9, 11, 13, and 15" sqref="A1" xr:uid="{F33F8191-5490-4E4F-9D76-E81FC47585D2}"/>
    <dataValidation type="list" allowBlank="1" showInputMessage="1" showErrorMessage="1" error="Only valid month names will work for this calendar. Either type the full month name or select from the list. Select RETRY then ALT+DOWN ARROW and ENTER to pick from the list. Select CANCEL to exit the cell " prompt="Select the month for this calendar. Type the full month name or press ALT+DOWN ARROW to navigate the list, then ENTER to select a month" sqref="C1:D1" xr:uid="{5BC06CB0-9E43-48CA-8DD1-335B533B7389}">
      <formula1>"JANUARY,FEBRUARY,MARCH,APRIL,MAY,JUNE,JULY,AUGUST,SEPTEMBER,OCTOBER,NOVEMBER,DECEMBER"</formula1>
    </dataValidation>
    <dataValidation type="list" allowBlank="1" showInputMessage="1" showErrorMessage="1" error="Only valid weekday names will work for this calendar. Either select RETRY and type the full weekday name or  select RETRY and press ALT+DOWN ARROW and ENTER to pick from the list. Select CANCEL to exit the cell " prompt="Select the starting day of the week for this calendar. Type the full weekday name or press ALT+DOWN ARROW to navigate the list, then ENTER to select a weekday" sqref="E1" xr:uid="{0731B3EF-A5EB-4A7A-9A76-C1194848B785}">
      <formula1>"MONDAY,TUESDAY,WEDNESDAY,THURSDAY,FRIDAY,SATURDAY,SUNDAY"</formula1>
    </dataValidation>
  </dataValidations>
  <printOptions horizontalCentered="1"/>
  <pageMargins left="0.45" right="0.45" top="0.4" bottom="0.5" header="0.3" footer="0.3"/>
  <pageSetup scale="87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TM04014209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Jan</vt:lpstr>
      <vt:lpstr>Sept</vt:lpstr>
      <vt:lpstr>Oct</vt:lpstr>
      <vt:lpstr>Jan!DayToStart</vt:lpstr>
      <vt:lpstr>Oct!DayToStart</vt:lpstr>
      <vt:lpstr>DayToStart</vt:lpstr>
      <vt:lpstr>Jan!MonthToDisplay</vt:lpstr>
      <vt:lpstr>Oct!MonthToDisplay</vt:lpstr>
      <vt:lpstr>Sept!MonthToDisplay</vt:lpstr>
      <vt:lpstr>Jan!Print_Titles</vt:lpstr>
      <vt:lpstr>Oct!Print_Titles</vt:lpstr>
      <vt:lpstr>Sept!Print_Titles</vt:lpstr>
      <vt:lpstr>Jan!YearToDisplay</vt:lpstr>
      <vt:lpstr>Oct!YearToDisplay</vt:lpstr>
      <vt:lpstr>Sept!YearToDisplay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Nathaniel Butts</dc:creator>
  <cp:lastModifiedBy>Nathaniel Butts</cp:lastModifiedBy>
  <dcterms:created xsi:type="dcterms:W3CDTF">2016-09-14T22:55:59Z</dcterms:created>
  <dcterms:modified xsi:type="dcterms:W3CDTF">2026-08-31T19:33:06Z</dcterms:modified>
</cp:coreProperties>
</file>